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CoW Analysis" sheetId="1" state="visible" r:id="rId3"/>
    <sheet name="Summary" sheetId="2" state="visible" r:id="rId4"/>
    <sheet name="Method &amp; Assumptions" sheetId="3" state="visible" r:id="rId5"/>
  </sheets>
  <definedNames>
    <definedName function="false" hidden="false" localSheetId="0" name="_xlnm.Print_Titles" vbProcedure="false">'MoSCoW Analysis'!$4:$4</definedName>
    <definedName function="false" hidden="true" localSheetId="0" name="_xlnm._FilterDatabase" vbProcedure="false">'MoSCoW Analysis'!$A$4:$L$14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<sst xmlns="http://schemas.openxmlformats.org/spreadsheetml/2006/main" count="128" uniqueCount="105">
  <si>
    <t xml:space="preserve">Library Management System – MoSCoW Prioritization</t>
  </si>
  <si>
    <t xml:space="preserve">Impact and Feasibility scored 1 (low) – 5 (high). Priority Score = Impact × Feasibility. Assumptions are on the 'Method &amp; Assumptions' sheet.</t>
  </si>
  <si>
    <t xml:space="preserve">#</t>
  </si>
  <si>
    <t xml:space="preserve">Requirement</t>
  </si>
  <si>
    <t xml:space="preserve">Key Stakeholders</t>
  </si>
  <si>
    <t xml:space="preserve">Impact (1-5)</t>
  </si>
  <si>
    <t xml:space="preserve">Impact on Users &amp; Stakeholders</t>
  </si>
  <si>
    <t xml:space="preserve">Feasibility (1-5)</t>
  </si>
  <si>
    <t xml:space="preserve">Feasibility (Time, Budget, Resources)</t>
  </si>
  <si>
    <t xml:space="preserve">Priority Score</t>
  </si>
  <si>
    <t xml:space="preserve">MoSCoW Category</t>
  </si>
  <si>
    <t xml:space="preserve">Justification</t>
  </si>
  <si>
    <t xml:space="preserve">Planned Release</t>
  </si>
  <si>
    <t xml:space="preserve">Score Band (formula)</t>
  </si>
  <si>
    <t xml:space="preserve">Search books by title and author</t>
  </si>
  <si>
    <t xml:space="preserve">Students/members, librarians</t>
  </si>
  <si>
    <t xml:space="preserve">Every user needs it on every visit; without it the catalogue is unusable and borrowing cannot happen.</t>
  </si>
  <si>
    <t xml:space="preserve">Standard database query (SQL LIKE / full-text index); low effort, no extra cost or third-party tools.</t>
  </si>
  <si>
    <t xml:space="preserve">Must-Have</t>
  </si>
  <si>
    <t xml:space="preserve">Core function of any library system with the highest user impact and almost no delivery risk. The system fails its purpose without it.</t>
  </si>
  <si>
    <t xml:space="preserve">Release 1 (MVP)</t>
  </si>
  <si>
    <t xml:space="preserve">Online book reservation system</t>
  </si>
  <si>
    <t xml:space="preserve">Members, librarians</t>
  </si>
  <si>
    <t xml:space="preserve">Lets members hold in-demand books remotely and reduces queues and wasted visits; librarians get a clear demand view.</t>
  </si>
  <si>
    <t xml:space="preserve">Needs a reservation table, hold queue and availability logic; moderate effort, fully achievable in-house within the timeline.</t>
  </si>
  <si>
    <t xml:space="preserve">Should-Have</t>
  </si>
  <si>
    <t xml:space="preserve">High value and feasible, but the library can operate manually (desk reservations) if it slips, so it is important but not critical for go-live.</t>
  </si>
  <si>
    <t xml:space="preserve">Release 1 (if time permits) / Release 2</t>
  </si>
  <si>
    <t xml:space="preserve">Monthly borrowing reports for administrators</t>
  </si>
  <si>
    <t xml:space="preserve">Administrators, librarians, management</t>
  </si>
  <si>
    <t xml:space="preserve">Supports stock purchasing, policy and audit decisions; no direct effect on members' daily use.</t>
  </si>
  <si>
    <t xml:space="preserve">Aggregation queries over existing loan data plus PDF/Excel export; moderate effort, depends on borrowing data already being captured.</t>
  </si>
  <si>
    <t xml:space="preserve">Important for management, but only valuable after borrowing data accumulates; reports can be produced manually from the database initially.</t>
  </si>
  <si>
    <t xml:space="preserve">Release 2</t>
  </si>
  <si>
    <t xml:space="preserve">Email notifications for overdue books</t>
  </si>
  <si>
    <t xml:space="preserve">Members, librarians, administrators</t>
  </si>
  <si>
    <t xml:space="preserve">Directly improves return rates, reduces lost books and manual chasing, and protects library assets.</t>
  </si>
  <si>
    <t xml:space="preserve">Scheduled job plus SMTP/email service (free or low-cost tier); moderate effort, needs valid member emails and a due-date check.</t>
  </si>
  <si>
    <t xml:space="preserve">Overdue control is a core library business rule with large operational payoff and low cost, so it belongs in the first release.</t>
  </si>
  <si>
    <t xml:space="preserve">QR code scanning for borrowing and returning</t>
  </si>
  <si>
    <t xml:space="preserve">Speeds up the checkout/return desk, but barcode, manual ID entry or typing the book ID achieves the same result.</t>
  </si>
  <si>
    <t xml:space="preserve">Needs QR generation/labelling for every book, scanner or camera integration and a mobile-friendly UI; extra hardware and labelling effort.</t>
  </si>
  <si>
    <t xml:space="preserve">Could-Have</t>
  </si>
  <si>
    <t xml:space="preserve">A convenience improvement rather than a necessity; borrowing works without it. Add if time and budget remain after core features.</t>
  </si>
  <si>
    <t xml:space="preserve">Release 2 / 3</t>
  </si>
  <si>
    <t xml:space="preserve">User-friendly dashboard for librarians</t>
  </si>
  <si>
    <t xml:space="preserve">Librarians, administrators</t>
  </si>
  <si>
    <t xml:space="preserve">Librarians use it daily to manage books, members, loans and overdue items; poor usability slows all operations.</t>
  </si>
  <si>
    <t xml:space="preserve">Built on top of existing modules using a UI framework/templates; effort grows with the number of widgets, so keep the first version simple.</t>
  </si>
  <si>
    <t xml:space="preserve">This is the main working interface of the system for staff, so a usable basic dashboard is required at launch (advanced analytics can follow later).</t>
  </si>
  <si>
    <t xml:space="preserve">Release 1 (basic), enhanced in Release 2</t>
  </si>
  <si>
    <t xml:space="preserve">Allow users to review and rate books</t>
  </si>
  <si>
    <t xml:space="preserve">Members</t>
  </si>
  <si>
    <t xml:space="preserve">Adds engagement and helps readers choose books, but does not affect core library operations.</t>
  </si>
  <si>
    <t xml:space="preserve">Simple review table and rating form; low effort, though moderation of inappropriate reviews adds some work.</t>
  </si>
  <si>
    <t xml:space="preserve">Nice-to-have social feature with low effort but low operational impact; schedule after essential features.</t>
  </si>
  <si>
    <t xml:space="preserve">Release 3</t>
  </si>
  <si>
    <t xml:space="preserve">Integrate a chatbot for user assistance</t>
  </si>
  <si>
    <t xml:space="preserve">Could reduce routine enquiries, but a FAQ page and librarian help cover the need at this scale.</t>
  </si>
  <si>
    <t xml:space="preserve">Requires NLP/AI service integration, training data, ongoing maintenance and possibly recurring API costs; high effort for the team size and budget.</t>
  </si>
  <si>
    <t xml:space="preserve">Won't-Have</t>
  </si>
  <si>
    <t xml:space="preserve">Cost and complexity are high relative to the benefit. Excluded from this release and can be reconsidered in the future once the core system is stable.</t>
  </si>
  <si>
    <t xml:space="preserve">Future (not this release)</t>
  </si>
  <si>
    <t xml:space="preserve">Develop a mobile app version of the system</t>
  </si>
  <si>
    <t xml:space="preserve">Convenient for members, but a responsive web interface already provides mobile access.</t>
  </si>
  <si>
    <t xml:space="preserve">Separate Android/iOS development, testing, app store accounts and maintenance; far exceeds the available time, budget and skills.</t>
  </si>
  <si>
    <t xml:space="preserve">High potential benefit, but not feasible within current constraints. A responsive web design covers mobile use for now; a native app is a future-phase candidate.</t>
  </si>
  <si>
    <t xml:space="preserve">Provide multi-language support</t>
  </si>
  <si>
    <t xml:space="preserve">Members from diverse language backgrounds</t>
  </si>
  <si>
    <t xml:space="preserve">Improves accessibility for non-English readers; benefit depends on the user base and is not essential for core operations.</t>
  </si>
  <si>
    <t xml:space="preserve">Needs text externalisation (i18n) from the start and translation of all content; modest effort if planned early, costly to retrofit.</t>
  </si>
  <si>
    <t xml:space="preserve">Useful for inclusivity, but the system works fully in a single language. Design the UI with i18n in mind and add languages when resources allow.</t>
  </si>
  <si>
    <t xml:space="preserve">Blue numbers = scoring inputs (editable). Black = formulas.</t>
  </si>
  <si>
    <t xml:space="preserve">MoSCoW Summary</t>
  </si>
  <si>
    <t xml:space="preserve">Category</t>
  </si>
  <si>
    <t xml:space="preserve">No. of Requirements</t>
  </si>
  <si>
    <t xml:space="preserve">Avg Impact</t>
  </si>
  <si>
    <t xml:space="preserve">Avg Feasibility</t>
  </si>
  <si>
    <t xml:space="preserve">Meaning</t>
  </si>
  <si>
    <t xml:space="preserve">Essential for launch; system is not viable without it.</t>
  </si>
  <si>
    <t xml:space="preserve">Important and feasible; include if time allows, workarounds exist.</t>
  </si>
  <si>
    <t xml:space="preserve">Desirable extras with smaller impact; first to drop if time or budget is tight.</t>
  </si>
  <si>
    <t xml:space="preserve">Agreed to be out of scope for this release; may be revisited later.</t>
  </si>
  <si>
    <t xml:space="preserve">Total</t>
  </si>
  <si>
    <t xml:space="preserve">Method &amp; Assumptions</t>
  </si>
  <si>
    <t xml:space="preserve">MoSCoW categories</t>
  </si>
  <si>
    <t xml:space="preserve">Critical for the first release; the system is unusable or non-compliant without it.</t>
  </si>
  <si>
    <t xml:space="preserve">Important, high value, but a workaround exists; included if time permits.</t>
  </si>
  <si>
    <t xml:space="preserve">Desirable but low impact; included only if time and budget remain.</t>
  </si>
  <si>
    <t xml:space="preserve">Not planned for this release (agreed scope exclusion), may be revisited later.</t>
  </si>
  <si>
    <t xml:space="preserve">Scoring criteria</t>
  </si>
  <si>
    <t xml:space="preserve">5 = used by all users/staff daily or essential to core operations; 1 = affects very few users or is cosmetic.</t>
  </si>
  <si>
    <t xml:space="preserve">5 = simple, low cost, within team skills; 1 = needs new skills, hardware, recurring cost or far exceeds the timeline.</t>
  </si>
  <si>
    <t xml:space="preserve">Impact × Feasibility (max 25). Guide: ≥20 usually Must/Should; 9-16 Could; low feasibility or low score = Won't. Final category also uses judgment on whether the system can function without the feature.</t>
  </si>
  <si>
    <t xml:space="preserve">Assumptions (project constraints)</t>
  </si>
  <si>
    <t xml:space="preserve">Team and time</t>
  </si>
  <si>
    <t xml:space="preserve">Small team (student project scale) with roughly one academic semester to deliver.</t>
  </si>
  <si>
    <t xml:space="preserve">Budget</t>
  </si>
  <si>
    <t xml:space="preserve">Minimal/no budget: free or low-cost tools only (no paid AI APIs, no app-store fees).</t>
  </si>
  <si>
    <t xml:space="preserve">Users</t>
  </si>
  <si>
    <t xml:space="preserve">Library members (students/readers), librarians, and administrators.</t>
  </si>
  <si>
    <t xml:space="preserve">Platform</t>
  </si>
  <si>
    <t xml:space="preserve">A responsive web application is the baseline; mobile access is provided through the browser.</t>
  </si>
  <si>
    <t xml:space="preserve">Scores</t>
  </si>
  <si>
    <t xml:space="preserve">All scores are the author's estimates under these assumptions and can be edited in the 'MoSCoW Analysis' sheet.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</si>
</sst>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F81BD"/>
      <rgbColor rgb="FF33CCCC"/>
      <rgbColor rgb="FF9BBB59"/>
      <rgbColor rgb="FFFFCC00"/>
      <rgbColor rgb="FFFF9900"/>
      <rgbColor rgb="FFED7D31"/>
      <rgbColor rgb="FF8064A2"/>
      <rgbColor rgb="FF999999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Requirements by MoSCoW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Summary!B3</c:f>
              <c:strCache>
                <c:ptCount val="1"/>
                <c:pt idx="0">
                  <c:v>No. of Requirements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Summary!$A$4:$A$7</c:f>
              <c:strCache>
                <c:ptCount val="4"/>
                <c:pt idx="0">
                  <c:v>Must-Have</c:v>
                </c:pt>
                <c:pt idx="1">
                  <c:v>Should-Have</c:v>
                </c:pt>
                <c:pt idx="2">
                  <c:v>Could-Have</c:v>
                </c:pt>
                <c:pt idx="3">
                  <c:v>Won't-Have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Impact vs Feasibility by Requirement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'MoSCoW Analysis'!D4</c:f>
              <c:strCache>
                <c:ptCount val="1"/>
                <c:pt idx="0">
                  <c:v>Impact (1-5)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'MoSCoW Analysis'!$B$5:$B$14</c:f>
              <c:strCache>
                <c:ptCount val="10"/>
                <c:pt idx="0">
                  <c:v>Search books by title and author</c:v>
                </c:pt>
                <c:pt idx="1">
                  <c:v>Online book reservation system</c:v>
                </c:pt>
                <c:pt idx="2">
                  <c:v>Monthly borrowing reports for administrators</c:v>
                </c:pt>
                <c:pt idx="3">
                  <c:v>Email notifications for overdue books</c:v>
                </c:pt>
                <c:pt idx="4">
                  <c:v>QR code scanning for borrowing and returning</c:v>
                </c:pt>
                <c:pt idx="5">
                  <c:v>User-friendly dashboard for librarians</c:v>
                </c:pt>
                <c:pt idx="6">
                  <c:v>Allow users to review and rate books</c:v>
                </c:pt>
                <c:pt idx="7">
                  <c:v>Integrate a chatbot for user assistance</c:v>
                </c:pt>
                <c:pt idx="8">
                  <c:v>Develop a mobile app version of the system</c:v>
                </c:pt>
                <c:pt idx="9">
                  <c:v>Provide multi-language support</c:v>
                </c:pt>
              </c:strCache>
            </c:strRef>
          </c:cat>
          <c:val>
            <c:numRef>
              <c:f>'MoSCoW Analysis'!$D$5:$D$14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</c:ser>
        <c:ser>
          <c:idx val="1"/>
          <c:order val="1"/>
          <c:tx>
            <c:strRef>
              <c:f>'MoSCoW Analysis'!F4</c:f>
              <c:strCache>
                <c:ptCount val="1"/>
                <c:pt idx="0">
                  <c:v>Feasibility (1-5)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'MoSCoW Analysis'!$B$5:$B$14</c:f>
              <c:strCache>
                <c:ptCount val="10"/>
                <c:pt idx="0">
                  <c:v>Search books by title and author</c:v>
                </c:pt>
                <c:pt idx="1">
                  <c:v>Online book reservation system</c:v>
                </c:pt>
                <c:pt idx="2">
                  <c:v>Monthly borrowing reports for administrators</c:v>
                </c:pt>
                <c:pt idx="3">
                  <c:v>Email notifications for overdue books</c:v>
                </c:pt>
                <c:pt idx="4">
                  <c:v>QR code scanning for borrowing and returning</c:v>
                </c:pt>
                <c:pt idx="5">
                  <c:v>User-friendly dashboard for librarians</c:v>
                </c:pt>
                <c:pt idx="6">
                  <c:v>Allow users to review and rate books</c:v>
                </c:pt>
                <c:pt idx="7">
                  <c:v>Integrate a chatbot for user assistance</c:v>
                </c:pt>
                <c:pt idx="8">
                  <c:v>Develop a mobile app version of the system</c:v>
                </c:pt>
                <c:pt idx="9">
                  <c:v>Provide multi-language support</c:v>
                </c:pt>
              </c:strCache>
            </c:strRef>
          </c:cat>
          <c:val>
            <c:numRef>
              <c:f>'MoSCoW Analysis'!$F$5:$F$14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</c:ser>
        <c:gapWidth val="150"/>
        <c:overlap val="0"/>
        <c:axId val="28665363"/>
        <c:axId val="68111952"/>
      </c:barChart>
      <c:catAx>
        <c:axId val="286653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11952"/>
        <c:crosses val="autoZero"/>
        <c:auto val="1"/>
        <c:lblAlgn val="ctr"/>
        <c:lblOffset val="100"/>
        <c:noMultiLvlLbl val="0"/>
      </c:catAx>
      <c:valAx>
        <c:axId val="68111952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653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10080</xdr:rowOff>
    </xdr:from>
    <xdr:to>
      <xdr:col>3</xdr:col>
      <xdr:colOff>865800</xdr:colOff>
      <xdr:row>24</xdr:row>
      <xdr:rowOff>32040</xdr:rowOff>
    </xdr:to>
    <xdr:graphicFrame>
      <xdr:nvGraphicFramePr>
        <xdr:cNvPr id="0" name="Chart 1"/>
        <xdr:cNvGraphicFramePr/>
      </xdr:nvGraphicFramePr>
      <xdr:xfrm>
        <a:off x="0" y="2666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9</xdr:row>
      <xdr:rowOff>10080</xdr:rowOff>
    </xdr:from>
    <xdr:to>
      <xdr:col>8</xdr:col>
      <xdr:colOff>63720</xdr:colOff>
      <xdr:row>27</xdr:row>
      <xdr:rowOff>180720</xdr:rowOff>
    </xdr:to>
    <xdr:graphicFrame>
      <xdr:nvGraphicFramePr>
        <xdr:cNvPr id="1" name="Chart 2"/>
        <xdr:cNvGraphicFramePr/>
      </xdr:nvGraphicFramePr>
      <xdr:xfrm>
        <a:off x="4511160" y="2666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42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48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91.5" hidden="false" customHeight="true" outlineLevel="0" collapsed="false">
      <c r="A5" s="4" t="n">
        <v>1</v>
      </c>
      <c r="B5" s="5" t="s">
        <v>14</v>
      </c>
      <c r="C5" s="6" t="s">
        <v>15</v>
      </c>
      <c r="D5" s="7" t="n">
        <v>5</v>
      </c>
      <c r="E5" s="6" t="s">
        <v>16</v>
      </c>
      <c r="F5" s="7" t="n">
        <v>5</v>
      </c>
      <c r="G5" s="6" t="s">
        <v>17</v>
      </c>
      <c r="H5" s="4" t="n">
        <f aca="false">D5*F5</f>
        <v>25</v>
      </c>
      <c r="I5" s="8" t="s">
        <v>18</v>
      </c>
      <c r="J5" s="6" t="s">
        <v>19</v>
      </c>
      <c r="K5" s="6" t="s">
        <v>20</v>
      </c>
      <c r="L5" s="9" t="str">
        <f aca="false">IF(H5&gt;=16,"High",IF(H5&gt;=9,"Medium","Low"))</f>
        <v>High</v>
      </c>
    </row>
    <row r="6" customFormat="false" ht="91.5" hidden="false" customHeight="true" outlineLevel="0" collapsed="false">
      <c r="A6" s="4" t="n">
        <v>2</v>
      </c>
      <c r="B6" s="5" t="s">
        <v>21</v>
      </c>
      <c r="C6" s="6" t="s">
        <v>22</v>
      </c>
      <c r="D6" s="7" t="n">
        <v>4</v>
      </c>
      <c r="E6" s="6" t="s">
        <v>23</v>
      </c>
      <c r="F6" s="7" t="n">
        <v>4</v>
      </c>
      <c r="G6" s="6" t="s">
        <v>24</v>
      </c>
      <c r="H6" s="4" t="n">
        <f aca="false">D6*F6</f>
        <v>16</v>
      </c>
      <c r="I6" s="8" t="s">
        <v>25</v>
      </c>
      <c r="J6" s="6" t="s">
        <v>26</v>
      </c>
      <c r="K6" s="6" t="s">
        <v>27</v>
      </c>
      <c r="L6" s="9" t="str">
        <f aca="false">IF(H6&gt;=16,"High",IF(H6&gt;=9,"Medium","Low"))</f>
        <v>High</v>
      </c>
    </row>
    <row r="7" customFormat="false" ht="91.5" hidden="false" customHeight="true" outlineLevel="0" collapsed="false">
      <c r="A7" s="4" t="n">
        <v>3</v>
      </c>
      <c r="B7" s="5" t="s">
        <v>28</v>
      </c>
      <c r="C7" s="6" t="s">
        <v>29</v>
      </c>
      <c r="D7" s="7" t="n">
        <v>4</v>
      </c>
      <c r="E7" s="6" t="s">
        <v>30</v>
      </c>
      <c r="F7" s="7" t="n">
        <v>4</v>
      </c>
      <c r="G7" s="6" t="s">
        <v>31</v>
      </c>
      <c r="H7" s="4" t="n">
        <f aca="false">D7*F7</f>
        <v>16</v>
      </c>
      <c r="I7" s="8" t="s">
        <v>25</v>
      </c>
      <c r="J7" s="6" t="s">
        <v>32</v>
      </c>
      <c r="K7" s="6" t="s">
        <v>33</v>
      </c>
      <c r="L7" s="9" t="str">
        <f aca="false">IF(H7&gt;=16,"High",IF(H7&gt;=9,"Medium","Low"))</f>
        <v>High</v>
      </c>
    </row>
    <row r="8" customFormat="false" ht="91.5" hidden="false" customHeight="true" outlineLevel="0" collapsed="false">
      <c r="A8" s="4" t="n">
        <v>4</v>
      </c>
      <c r="B8" s="5" t="s">
        <v>34</v>
      </c>
      <c r="C8" s="6" t="s">
        <v>35</v>
      </c>
      <c r="D8" s="7" t="n">
        <v>5</v>
      </c>
      <c r="E8" s="6" t="s">
        <v>36</v>
      </c>
      <c r="F8" s="7" t="n">
        <v>4</v>
      </c>
      <c r="G8" s="6" t="s">
        <v>37</v>
      </c>
      <c r="H8" s="4" t="n">
        <f aca="false">D8*F8</f>
        <v>20</v>
      </c>
      <c r="I8" s="8" t="s">
        <v>18</v>
      </c>
      <c r="J8" s="6" t="s">
        <v>38</v>
      </c>
      <c r="K8" s="6" t="s">
        <v>20</v>
      </c>
      <c r="L8" s="9" t="str">
        <f aca="false">IF(H8&gt;=16,"High",IF(H8&gt;=9,"Medium","Low"))</f>
        <v>High</v>
      </c>
    </row>
    <row r="9" customFormat="false" ht="91.5" hidden="false" customHeight="true" outlineLevel="0" collapsed="false">
      <c r="A9" s="4" t="n">
        <v>5</v>
      </c>
      <c r="B9" s="5" t="s">
        <v>39</v>
      </c>
      <c r="C9" s="6" t="s">
        <v>22</v>
      </c>
      <c r="D9" s="7" t="n">
        <v>3</v>
      </c>
      <c r="E9" s="6" t="s">
        <v>40</v>
      </c>
      <c r="F9" s="7" t="n">
        <v>3</v>
      </c>
      <c r="G9" s="6" t="s">
        <v>41</v>
      </c>
      <c r="H9" s="4" t="n">
        <f aca="false">D9*F9</f>
        <v>9</v>
      </c>
      <c r="I9" s="8" t="s">
        <v>42</v>
      </c>
      <c r="J9" s="6" t="s">
        <v>43</v>
      </c>
      <c r="K9" s="6" t="s">
        <v>44</v>
      </c>
      <c r="L9" s="9" t="str">
        <f aca="false">IF(H9&gt;=16,"High",IF(H9&gt;=9,"Medium","Low"))</f>
        <v>Medium</v>
      </c>
    </row>
    <row r="10" customFormat="false" ht="91.5" hidden="false" customHeight="true" outlineLevel="0" collapsed="false">
      <c r="A10" s="4" t="n">
        <v>6</v>
      </c>
      <c r="B10" s="5" t="s">
        <v>45</v>
      </c>
      <c r="C10" s="6" t="s">
        <v>46</v>
      </c>
      <c r="D10" s="7" t="n">
        <v>5</v>
      </c>
      <c r="E10" s="6" t="s">
        <v>47</v>
      </c>
      <c r="F10" s="7" t="n">
        <v>4</v>
      </c>
      <c r="G10" s="6" t="s">
        <v>48</v>
      </c>
      <c r="H10" s="4" t="n">
        <f aca="false">D10*F10</f>
        <v>20</v>
      </c>
      <c r="I10" s="8" t="s">
        <v>18</v>
      </c>
      <c r="J10" s="6" t="s">
        <v>49</v>
      </c>
      <c r="K10" s="6" t="s">
        <v>50</v>
      </c>
      <c r="L10" s="9" t="str">
        <f aca="false">IF(H10&gt;=16,"High",IF(H10&gt;=9,"Medium","Low"))</f>
        <v>High</v>
      </c>
    </row>
    <row r="11" customFormat="false" ht="91.5" hidden="false" customHeight="true" outlineLevel="0" collapsed="false">
      <c r="A11" s="4" t="n">
        <v>7</v>
      </c>
      <c r="B11" s="5" t="s">
        <v>51</v>
      </c>
      <c r="C11" s="6" t="s">
        <v>52</v>
      </c>
      <c r="D11" s="7" t="n">
        <v>2</v>
      </c>
      <c r="E11" s="6" t="s">
        <v>53</v>
      </c>
      <c r="F11" s="7" t="n">
        <v>4</v>
      </c>
      <c r="G11" s="6" t="s">
        <v>54</v>
      </c>
      <c r="H11" s="4" t="n">
        <f aca="false">D11*F11</f>
        <v>8</v>
      </c>
      <c r="I11" s="8" t="s">
        <v>42</v>
      </c>
      <c r="J11" s="6" t="s">
        <v>55</v>
      </c>
      <c r="K11" s="6" t="s">
        <v>56</v>
      </c>
      <c r="L11" s="9" t="str">
        <f aca="false">IF(H11&gt;=16,"High",IF(H11&gt;=9,"Medium","Low"))</f>
        <v>Low</v>
      </c>
    </row>
    <row r="12" customFormat="false" ht="91.5" hidden="false" customHeight="true" outlineLevel="0" collapsed="false">
      <c r="A12" s="4" t="n">
        <v>8</v>
      </c>
      <c r="B12" s="5" t="s">
        <v>57</v>
      </c>
      <c r="C12" s="6" t="s">
        <v>22</v>
      </c>
      <c r="D12" s="7" t="n">
        <v>2</v>
      </c>
      <c r="E12" s="6" t="s">
        <v>58</v>
      </c>
      <c r="F12" s="7" t="n">
        <v>2</v>
      </c>
      <c r="G12" s="6" t="s">
        <v>59</v>
      </c>
      <c r="H12" s="4" t="n">
        <f aca="false">D12*F12</f>
        <v>4</v>
      </c>
      <c r="I12" s="8" t="s">
        <v>60</v>
      </c>
      <c r="J12" s="6" t="s">
        <v>61</v>
      </c>
      <c r="K12" s="6" t="s">
        <v>62</v>
      </c>
      <c r="L12" s="9" t="str">
        <f aca="false">IF(H12&gt;=16,"High",IF(H12&gt;=9,"Medium","Low"))</f>
        <v>Low</v>
      </c>
    </row>
    <row r="13" customFormat="false" ht="91.5" hidden="false" customHeight="true" outlineLevel="0" collapsed="false">
      <c r="A13" s="4" t="n">
        <v>9</v>
      </c>
      <c r="B13" s="5" t="s">
        <v>63</v>
      </c>
      <c r="C13" s="6" t="s">
        <v>22</v>
      </c>
      <c r="D13" s="7" t="n">
        <v>4</v>
      </c>
      <c r="E13" s="6" t="s">
        <v>64</v>
      </c>
      <c r="F13" s="7" t="n">
        <v>1</v>
      </c>
      <c r="G13" s="6" t="s">
        <v>65</v>
      </c>
      <c r="H13" s="4" t="n">
        <f aca="false">D13*F13</f>
        <v>4</v>
      </c>
      <c r="I13" s="8" t="s">
        <v>60</v>
      </c>
      <c r="J13" s="6" t="s">
        <v>66</v>
      </c>
      <c r="K13" s="6" t="s">
        <v>62</v>
      </c>
      <c r="L13" s="9" t="str">
        <f aca="false">IF(H13&gt;=16,"High",IF(H13&gt;=9,"Medium","Low"))</f>
        <v>Low</v>
      </c>
    </row>
    <row r="14" customFormat="false" ht="91.5" hidden="false" customHeight="true" outlineLevel="0" collapsed="false">
      <c r="A14" s="4" t="n">
        <v>10</v>
      </c>
      <c r="B14" s="5" t="s">
        <v>67</v>
      </c>
      <c r="C14" s="6" t="s">
        <v>68</v>
      </c>
      <c r="D14" s="7" t="n">
        <v>3</v>
      </c>
      <c r="E14" s="6" t="s">
        <v>69</v>
      </c>
      <c r="F14" s="7" t="n">
        <v>3</v>
      </c>
      <c r="G14" s="6" t="s">
        <v>70</v>
      </c>
      <c r="H14" s="4" t="n">
        <f aca="false">D14*F14</f>
        <v>9</v>
      </c>
      <c r="I14" s="8" t="s">
        <v>42</v>
      </c>
      <c r="J14" s="6" t="s">
        <v>71</v>
      </c>
      <c r="K14" s="6" t="s">
        <v>56</v>
      </c>
      <c r="L14" s="9" t="str">
        <f aca="false">IF(H14&gt;=16,"High",IF(H14&gt;=9,"Medium","Low"))</f>
        <v>Medium</v>
      </c>
    </row>
    <row r="16" customFormat="false" ht="15" hidden="false" customHeight="false" outlineLevel="0" collapsed="false">
      <c r="A16" s="10" t="s">
        <v>72</v>
      </c>
    </row>
  </sheetData>
  <autoFilter ref="A4:L14"/>
  <conditionalFormatting sqref="I5:I14">
    <cfRule type="cellIs" priority="2" operator="equal" aboveAverage="0" equalAverage="0" bottom="0" percent="0" rank="0" text="" dxfId="8">
      <formula>"Must-Have"</formula>
    </cfRule>
    <cfRule type="cellIs" priority="3" operator="equal" aboveAverage="0" equalAverage="0" bottom="0" percent="0" rank="0" text="" dxfId="9">
      <formula>"Should-Have"</formula>
    </cfRule>
    <cfRule type="cellIs" priority="4" operator="equal" aboveAverage="0" equalAverage="0" bottom="0" percent="0" rank="0" text="" dxfId="10">
      <formula>"Could-Have"</formula>
    </cfRule>
    <cfRule type="cellIs" priority="5" operator="equal" aboveAverage="0" equalAverage="0" bottom="0" percent="0" rank="0" text="" dxfId="11">
      <formula>"Won't-Have"</formula>
    </cfRule>
  </conditionalFormatting>
  <dataValidations count="1">
    <dataValidation allowBlank="false" errorStyle="stop" operator="between" showDropDown="false" showErrorMessage="false" showInputMessage="false" sqref="I5:I14" type="list">
      <formula1>"Must-Have,Should-Have,Could-Have,Won't-Have"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65"/>
  </cols>
  <sheetData>
    <row r="1" customFormat="false" ht="17.35" hidden="false" customHeight="false" outlineLevel="0" collapsed="false">
      <c r="A1" s="1" t="s">
        <v>73</v>
      </c>
    </row>
    <row r="3" customFormat="false" ht="26.85" hidden="false" customHeight="false" outlineLevel="0" collapsed="false">
      <c r="A3" s="11" t="s">
        <v>74</v>
      </c>
      <c r="B3" s="11" t="s">
        <v>75</v>
      </c>
      <c r="C3" s="11" t="s">
        <v>76</v>
      </c>
      <c r="D3" s="11" t="s">
        <v>77</v>
      </c>
      <c r="E3" s="11" t="s">
        <v>78</v>
      </c>
    </row>
    <row r="4" customFormat="false" ht="30" hidden="false" customHeight="true" outlineLevel="0" collapsed="false">
      <c r="A4" s="12" t="s">
        <v>18</v>
      </c>
      <c r="B4" s="4" t="n">
        <f aca="false">COUNTIF('MoSCoW Analysis'!$I$5:$I$14,A4)</f>
        <v>3</v>
      </c>
      <c r="C4" s="13" t="n">
        <f aca="false">IFERROR(AVERAGEIF('MoSCoW Analysis'!$I$5:$I$14,A4,'MoSCoW Analysis'!$D$5:$D$14),0)</f>
        <v>5</v>
      </c>
      <c r="D4" s="13" t="n">
        <f aca="false">IFERROR(AVERAGEIF('MoSCoW Analysis'!$I$5:$I$14,A4,'MoSCoW Analysis'!$F$5:$F$14),0)</f>
        <v>4.33333333333333</v>
      </c>
      <c r="E4" s="6" t="s">
        <v>79</v>
      </c>
    </row>
    <row r="5" customFormat="false" ht="30" hidden="false" customHeight="true" outlineLevel="0" collapsed="false">
      <c r="A5" s="14" t="s">
        <v>25</v>
      </c>
      <c r="B5" s="4" t="n">
        <f aca="false">COUNTIF('MoSCoW Analysis'!$I$5:$I$14,A5)</f>
        <v>2</v>
      </c>
      <c r="C5" s="13" t="n">
        <f aca="false">IFERROR(AVERAGEIF('MoSCoW Analysis'!$I$5:$I$14,A5,'MoSCoW Analysis'!$D$5:$D$14),0)</f>
        <v>4</v>
      </c>
      <c r="D5" s="13" t="n">
        <f aca="false">IFERROR(AVERAGEIF('MoSCoW Analysis'!$I$5:$I$14,A5,'MoSCoW Analysis'!$F$5:$F$14),0)</f>
        <v>4</v>
      </c>
      <c r="E5" s="6" t="s">
        <v>80</v>
      </c>
    </row>
    <row r="6" customFormat="false" ht="30" hidden="false" customHeight="true" outlineLevel="0" collapsed="false">
      <c r="A6" s="15" t="s">
        <v>42</v>
      </c>
      <c r="B6" s="4" t="n">
        <f aca="false">COUNTIF('MoSCoW Analysis'!$I$5:$I$14,A6)</f>
        <v>3</v>
      </c>
      <c r="C6" s="13" t="n">
        <f aca="false">IFERROR(AVERAGEIF('MoSCoW Analysis'!$I$5:$I$14,A6,'MoSCoW Analysis'!$D$5:$D$14),0)</f>
        <v>2.66666666666667</v>
      </c>
      <c r="D6" s="13" t="n">
        <f aca="false">IFERROR(AVERAGEIF('MoSCoW Analysis'!$I$5:$I$14,A6,'MoSCoW Analysis'!$F$5:$F$14),0)</f>
        <v>3.33333333333333</v>
      </c>
      <c r="E6" s="6" t="s">
        <v>81</v>
      </c>
    </row>
    <row r="7" customFormat="false" ht="30" hidden="false" customHeight="true" outlineLevel="0" collapsed="false">
      <c r="A7" s="16" t="s">
        <v>60</v>
      </c>
      <c r="B7" s="4" t="n">
        <f aca="false">COUNTIF('MoSCoW Analysis'!$I$5:$I$14,A7)</f>
        <v>2</v>
      </c>
      <c r="C7" s="13" t="n">
        <f aca="false">IFERROR(AVERAGEIF('MoSCoW Analysis'!$I$5:$I$14,A7,'MoSCoW Analysis'!$D$5:$D$14),0)</f>
        <v>3</v>
      </c>
      <c r="D7" s="13" t="n">
        <f aca="false">IFERROR(AVERAGEIF('MoSCoW Analysis'!$I$5:$I$14,A7,'MoSCoW Analysis'!$F$5:$F$14),0)</f>
        <v>1.5</v>
      </c>
      <c r="E7" s="6" t="s">
        <v>82</v>
      </c>
    </row>
    <row r="8" customFormat="false" ht="15" hidden="false" customHeight="false" outlineLevel="0" collapsed="false">
      <c r="A8" s="17" t="s">
        <v>83</v>
      </c>
      <c r="B8" s="18" t="n">
        <f aca="false">SUM(B4:B7)</f>
        <v>10</v>
      </c>
      <c r="C8" s="19"/>
      <c r="D8" s="19"/>
      <c r="E8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84</v>
      </c>
    </row>
    <row r="3" customFormat="false" ht="15" hidden="false" customHeight="false" outlineLevel="0" collapsed="false">
      <c r="A3" s="20" t="s">
        <v>85</v>
      </c>
      <c r="B3" s="21"/>
    </row>
    <row r="4" customFormat="false" ht="15" hidden="false" customHeight="false" outlineLevel="0" collapsed="false">
      <c r="A4" s="22" t="s">
        <v>18</v>
      </c>
      <c r="B4" s="21" t="s">
        <v>86</v>
      </c>
    </row>
    <row r="5" customFormat="false" ht="15" hidden="false" customHeight="false" outlineLevel="0" collapsed="false">
      <c r="A5" s="22" t="s">
        <v>25</v>
      </c>
      <c r="B5" s="21" t="s">
        <v>87</v>
      </c>
    </row>
    <row r="6" customFormat="false" ht="15" hidden="false" customHeight="false" outlineLevel="0" collapsed="false">
      <c r="A6" s="22" t="s">
        <v>42</v>
      </c>
      <c r="B6" s="21" t="s">
        <v>88</v>
      </c>
    </row>
    <row r="7" customFormat="false" ht="15" hidden="false" customHeight="false" outlineLevel="0" collapsed="false">
      <c r="A7" s="22" t="s">
        <v>60</v>
      </c>
      <c r="B7" s="21" t="s">
        <v>89</v>
      </c>
    </row>
    <row r="8" customFormat="false" ht="15" hidden="false" customHeight="false" outlineLevel="0" collapsed="false">
      <c r="A8" s="22"/>
      <c r="B8" s="21"/>
    </row>
    <row r="9" customFormat="false" ht="15" hidden="false" customHeight="false" outlineLevel="0" collapsed="false">
      <c r="A9" s="20" t="s">
        <v>90</v>
      </c>
      <c r="B9" s="21"/>
    </row>
    <row r="10" customFormat="false" ht="15" hidden="false" customHeight="false" outlineLevel="0" collapsed="false">
      <c r="A10" s="22" t="s">
        <v>5</v>
      </c>
      <c r="B10" s="21" t="s">
        <v>91</v>
      </c>
    </row>
    <row r="11" customFormat="false" ht="15" hidden="false" customHeight="false" outlineLevel="0" collapsed="false">
      <c r="A11" s="22" t="s">
        <v>7</v>
      </c>
      <c r="B11" s="21" t="s">
        <v>92</v>
      </c>
    </row>
    <row r="12" customFormat="false" ht="23.85" hidden="false" customHeight="false" outlineLevel="0" collapsed="false">
      <c r="A12" s="22" t="s">
        <v>9</v>
      </c>
      <c r="B12" s="21" t="s">
        <v>93</v>
      </c>
    </row>
    <row r="13" customFormat="false" ht="15" hidden="false" customHeight="false" outlineLevel="0" collapsed="false">
      <c r="A13" s="22"/>
      <c r="B13" s="21"/>
    </row>
    <row r="14" customFormat="false" ht="15" hidden="false" customHeight="false" outlineLevel="0" collapsed="false">
      <c r="A14" s="20" t="s">
        <v>94</v>
      </c>
      <c r="B14" s="21"/>
    </row>
    <row r="15" customFormat="false" ht="15" hidden="false" customHeight="false" outlineLevel="0" collapsed="false">
      <c r="A15" s="22" t="s">
        <v>95</v>
      </c>
      <c r="B15" s="21" t="s">
        <v>96</v>
      </c>
    </row>
    <row r="16" customFormat="false" ht="15" hidden="false" customHeight="false" outlineLevel="0" collapsed="false">
      <c r="A16" s="22" t="s">
        <v>97</v>
      </c>
      <c r="B16" s="21" t="s">
        <v>98</v>
      </c>
    </row>
    <row r="17" customFormat="false" ht="15" hidden="false" customHeight="false" outlineLevel="0" collapsed="false">
      <c r="A17" s="22" t="s">
        <v>99</v>
      </c>
      <c r="B17" s="21" t="s">
        <v>100</v>
      </c>
    </row>
    <row r="18" customFormat="false" ht="15" hidden="false" customHeight="false" outlineLevel="0" collapsed="false">
      <c r="A18" s="22" t="s">
        <v>101</v>
      </c>
      <c r="B18" s="21" t="s">
        <v>102</v>
      </c>
    </row>
    <row r="19" customFormat="false" ht="15" hidden="false" customHeight="false" outlineLevel="0" collapsed="false">
      <c r="A19" s="22" t="s">
        <v>103</v>
      </c>
      <c r="B19" s="21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2026-10-21T11:44:22Z</dcterms:created>
  <dc:creator>Student</dc:creator>
  <dc:description/>
  <dc:language>en-US</dc:language>
  <cp:lastModifiedBy/>
  <dcterms:modified xsi:type="dcterms:W3CDTF">2026-10-21T11:44:24Z</dcterms:modified>
  <cp:revision>1</cp:revision>
  <dc:subject/>
  <dc:title>Library Management System - MoSCoW Prioritization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